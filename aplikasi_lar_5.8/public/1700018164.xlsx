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cas\Downloads\"/>
    </mc:Choice>
  </mc:AlternateContent>
  <xr:revisionPtr revIDLastSave="0" documentId="8_{10BBB609-4725-4D2F-B630-4867EBD3ACEE}" xr6:coauthVersionLast="46" xr6:coauthVersionMax="46" xr10:uidLastSave="{00000000-0000-0000-0000-000000000000}"/>
  <bookViews>
    <workbookView xWindow="-120" yWindow="-120" windowWidth="20730" windowHeight="11310" xr2:uid="{54620A15-5CF5-465F-8C6D-61952C4778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J4" i="1"/>
  <c r="J3" i="1"/>
  <c r="F5" i="1"/>
  <c r="F6" i="1"/>
  <c r="F7" i="1"/>
  <c r="F8" i="1"/>
  <c r="F9" i="1"/>
  <c r="D5" i="1"/>
  <c r="D6" i="1"/>
  <c r="D7" i="1"/>
  <c r="D8" i="1"/>
  <c r="D9" i="1"/>
  <c r="E5" i="1"/>
  <c r="E6" i="1"/>
  <c r="E7" i="1"/>
  <c r="E8" i="1"/>
  <c r="E9" i="1"/>
  <c r="F3" i="1"/>
  <c r="F4" i="1"/>
  <c r="F10" i="1"/>
  <c r="F11" i="1"/>
  <c r="F2" i="1"/>
  <c r="E3" i="1"/>
  <c r="E4" i="1"/>
  <c r="E10" i="1"/>
  <c r="E11" i="1"/>
  <c r="E2" i="1"/>
  <c r="D3" i="1"/>
  <c r="D4" i="1"/>
  <c r="D10" i="1"/>
  <c r="D11" i="1"/>
  <c r="D2" i="1"/>
  <c r="C12" i="1"/>
  <c r="B12" i="1"/>
  <c r="D12" i="1" l="1"/>
  <c r="F12" i="1"/>
  <c r="E12" i="1"/>
</calcChain>
</file>

<file path=xl/sharedStrings.xml><?xml version="1.0" encoding="utf-8"?>
<sst xmlns="http://schemas.openxmlformats.org/spreadsheetml/2006/main" count="12" uniqueCount="12">
  <si>
    <t>no</t>
  </si>
  <si>
    <t>total</t>
  </si>
  <si>
    <t>a</t>
  </si>
  <si>
    <t>b</t>
  </si>
  <si>
    <t>Y = a + bX</t>
  </si>
  <si>
    <t>jam</t>
  </si>
  <si>
    <t>kwh</t>
  </si>
  <si>
    <t>jamxjam</t>
  </si>
  <si>
    <t>kwhxkwh</t>
  </si>
  <si>
    <t>jamxkwh</t>
  </si>
  <si>
    <t>Y kwh</t>
  </si>
  <si>
    <t>X 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</si>
</sst>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CDC6-2E54-45E7-997E-78E73E6B0236}">
  <dimension ref="A1:J15"/>
  <sheetViews>
    <sheetView tabSelected="1" workbookViewId="0">
      <selection activeCell="J5" sqref="J5"/>
    </sheetView>
  </sheetViews>
  <sheetFormatPr defaultRowHeight="15" x14ac:dyDescent="0.25"/>
  <cols>
    <col min="1" max="1" width="11.28515625" customWidth="1"/>
    <col min="2" max="2" width="14.140625" customWidth="1"/>
    <col min="3" max="3" width="17.28515625" customWidth="1"/>
    <col min="4" max="4" width="15.7109375" customWidth="1"/>
    <col min="5" max="5" width="18.42578125" customWidth="1"/>
    <col min="6" max="6" width="17.85546875" customWidth="1"/>
    <col min="10" max="10" width="27.85546875" customWidth="1"/>
  </cols>
  <sheetData>
    <row r="1" spans="1:10" ht="41.25" customHeight="1" x14ac:dyDescent="0.25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3"/>
      <c r="J1" s="1"/>
    </row>
    <row r="2" spans="1:10" x14ac:dyDescent="0.25">
      <c r="A2" s="8">
        <v>1</v>
      </c>
      <c r="B2" s="8">
        <v>15</v>
      </c>
      <c r="C2" s="8">
        <v>233879</v>
      </c>
      <c r="D2" s="8">
        <f>(B2*B2)</f>
        <v>225</v>
      </c>
      <c r="E2" s="8">
        <f>(C2*C2)</f>
        <v>54699386641</v>
      </c>
      <c r="F2" s="8">
        <f>(B2*C2)</f>
        <v>3508185</v>
      </c>
      <c r="J2" s="1"/>
    </row>
    <row r="3" spans="1:10" x14ac:dyDescent="0.25">
      <c r="A3" s="8">
        <v>2</v>
      </c>
      <c r="B3" s="8">
        <v>16</v>
      </c>
      <c r="C3" s="8">
        <v>457900</v>
      </c>
      <c r="D3" s="8">
        <f t="shared" ref="D3:D11" si="0">(B3*B3)</f>
        <v>256</v>
      </c>
      <c r="E3" s="8">
        <f t="shared" ref="E3:E11" si="1">(C3*C3)</f>
        <v>209672410000</v>
      </c>
      <c r="F3" s="8">
        <f t="shared" ref="F3:F11" si="2">(B3*C3)</f>
        <v>7326400</v>
      </c>
      <c r="I3" s="5" t="s">
        <v>2</v>
      </c>
      <c r="J3" s="6">
        <f>(((C12*D12)-(B12*F12))/((10*D12)-(B12*B12)))</f>
        <v>-345455.34545454546</v>
      </c>
    </row>
    <row r="4" spans="1:10" x14ac:dyDescent="0.25">
      <c r="A4" s="8">
        <v>3</v>
      </c>
      <c r="B4" s="8">
        <v>17</v>
      </c>
      <c r="C4" s="8">
        <v>567000</v>
      </c>
      <c r="D4" s="8">
        <f t="shared" si="0"/>
        <v>289</v>
      </c>
      <c r="E4" s="8">
        <f t="shared" si="1"/>
        <v>321489000000</v>
      </c>
      <c r="F4" s="8">
        <f t="shared" si="2"/>
        <v>9639000</v>
      </c>
      <c r="I4" s="7" t="s">
        <v>3</v>
      </c>
      <c r="J4" s="6">
        <f>(((10*F12)-(B12*C12))/((10*D12)-(B12*B12)))</f>
        <v>44622.115151515151</v>
      </c>
    </row>
    <row r="5" spans="1:10" x14ac:dyDescent="0.25">
      <c r="A5" s="8">
        <v>4</v>
      </c>
      <c r="B5" s="8">
        <v>18</v>
      </c>
      <c r="C5" s="8">
        <v>450000</v>
      </c>
      <c r="D5" s="8">
        <f t="shared" si="0"/>
        <v>324</v>
      </c>
      <c r="E5" s="8">
        <f t="shared" si="1"/>
        <v>202500000000</v>
      </c>
      <c r="F5" s="8">
        <f t="shared" si="2"/>
        <v>8100000</v>
      </c>
      <c r="I5" s="4"/>
    </row>
    <row r="6" spans="1:10" x14ac:dyDescent="0.25">
      <c r="A6" s="8">
        <v>5</v>
      </c>
      <c r="B6" s="8">
        <v>19</v>
      </c>
      <c r="C6" s="8">
        <v>234000</v>
      </c>
      <c r="D6" s="8">
        <f t="shared" si="0"/>
        <v>361</v>
      </c>
      <c r="E6" s="8">
        <f t="shared" si="1"/>
        <v>54756000000</v>
      </c>
      <c r="F6" s="8">
        <f t="shared" si="2"/>
        <v>4446000</v>
      </c>
      <c r="I6" s="4"/>
    </row>
    <row r="7" spans="1:10" x14ac:dyDescent="0.25">
      <c r="A7" s="8">
        <v>6</v>
      </c>
      <c r="B7" s="8">
        <v>20</v>
      </c>
      <c r="C7" s="8">
        <v>543000</v>
      </c>
      <c r="D7" s="8">
        <f t="shared" si="0"/>
        <v>400</v>
      </c>
      <c r="E7" s="8">
        <f t="shared" si="1"/>
        <v>294849000000</v>
      </c>
      <c r="F7" s="8">
        <f t="shared" si="2"/>
        <v>10860000</v>
      </c>
      <c r="I7" s="4"/>
    </row>
    <row r="8" spans="1:10" x14ac:dyDescent="0.25">
      <c r="A8" s="8">
        <v>7</v>
      </c>
      <c r="B8" s="8">
        <v>21</v>
      </c>
      <c r="C8" s="8">
        <v>750000</v>
      </c>
      <c r="D8" s="8">
        <f t="shared" si="0"/>
        <v>441</v>
      </c>
      <c r="E8" s="8">
        <f t="shared" si="1"/>
        <v>562500000000</v>
      </c>
      <c r="F8" s="8">
        <f t="shared" si="2"/>
        <v>15750000</v>
      </c>
      <c r="I8" s="4"/>
    </row>
    <row r="9" spans="1:10" x14ac:dyDescent="0.25">
      <c r="A9" s="8">
        <v>8</v>
      </c>
      <c r="B9" s="8">
        <v>22</v>
      </c>
      <c r="C9" s="8">
        <v>456000</v>
      </c>
      <c r="D9" s="8">
        <f t="shared" si="0"/>
        <v>484</v>
      </c>
      <c r="E9" s="8">
        <f t="shared" si="1"/>
        <v>207936000000</v>
      </c>
      <c r="F9" s="8">
        <f t="shared" si="2"/>
        <v>10032000</v>
      </c>
      <c r="I9" s="4"/>
    </row>
    <row r="10" spans="1:10" x14ac:dyDescent="0.25">
      <c r="A10" s="8">
        <v>9</v>
      </c>
      <c r="B10" s="8">
        <v>23</v>
      </c>
      <c r="C10" s="8">
        <v>987980</v>
      </c>
      <c r="D10" s="8">
        <f t="shared" si="0"/>
        <v>529</v>
      </c>
      <c r="E10" s="8">
        <f t="shared" si="1"/>
        <v>976104480400</v>
      </c>
      <c r="F10" s="8">
        <f t="shared" si="2"/>
        <v>22723540</v>
      </c>
    </row>
    <row r="11" spans="1:10" x14ac:dyDescent="0.25">
      <c r="A11" s="8">
        <v>10</v>
      </c>
      <c r="B11" s="8">
        <v>24</v>
      </c>
      <c r="C11" s="8">
        <v>567000</v>
      </c>
      <c r="D11" s="8">
        <f t="shared" si="0"/>
        <v>576</v>
      </c>
      <c r="E11" s="8">
        <f t="shared" si="1"/>
        <v>321489000000</v>
      </c>
      <c r="F11" s="8">
        <f t="shared" si="2"/>
        <v>13608000</v>
      </c>
    </row>
    <row r="12" spans="1:10" x14ac:dyDescent="0.25">
      <c r="A12" s="7" t="s">
        <v>1</v>
      </c>
      <c r="B12" s="7">
        <f>SUM(B2:B11)</f>
        <v>195</v>
      </c>
      <c r="C12" s="7">
        <f>SUM(C2:C11)</f>
        <v>5246759</v>
      </c>
      <c r="D12" s="7">
        <f>SUM(D2:D11)</f>
        <v>3885</v>
      </c>
      <c r="E12" s="7">
        <f>SUM(E2:E11)</f>
        <v>3205995277041</v>
      </c>
      <c r="F12" s="7">
        <f>SUM(F2:F11)</f>
        <v>105993125</v>
      </c>
    </row>
    <row r="14" spans="1:10" ht="27.75" customHeight="1" x14ac:dyDescent="0.25">
      <c r="A14" s="2" t="s">
        <v>4</v>
      </c>
      <c r="B14" s="2" t="s">
        <v>10</v>
      </c>
      <c r="C14" s="2" t="s">
        <v>11</v>
      </c>
    </row>
    <row r="15" spans="1:10" x14ac:dyDescent="0.25">
      <c r="B15">
        <f>($J$3+($J$4*C15))</f>
        <v>770097.53333333321</v>
      </c>
      <c r="C1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ancas</dc:creator>
  <cp:lastModifiedBy>ancas</cp:lastModifiedBy>
  <dcterms:created xsi:type="dcterms:W3CDTF">2021-01-01T00:09:29Z</dcterms:created>
  <dcterms:modified xsi:type="dcterms:W3CDTF">2021-01-23T02:50:16Z</dcterms:modified>
</cp:coreProperties>
</file>